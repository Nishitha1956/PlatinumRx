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ticket" sheetId="1" r:id="rId1"/>
    <sheet name="feedbac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<sst xmlns="http://schemas.openxmlformats.org/spreadsheetml/2006/main" count="81" uniqueCount="62">
  <si>
    <t>ticket_id</t>
  </si>
  <si>
    <t>created_at</t>
  </si>
  <si>
    <t>closed_at</t>
  </si>
  <si>
    <t>outlet_id</t>
  </si>
  <si>
    <t>cms_id</t>
  </si>
  <si>
    <t>same_day</t>
  </si>
  <si>
    <t>same_hour</t>
  </si>
  <si>
    <t>isu-sjd-457</t>
  </si>
  <si>
    <t>2021-08-19 16:45:43</t>
  </si>
  <si>
    <t>2021-08-22 12:33:32</t>
  </si>
  <si>
    <t>wrqy-juv-978</t>
  </si>
  <si>
    <t>vew-iuvd-12</t>
  </si>
  <si>
    <t>qer-fal-092</t>
  </si>
  <si>
    <t>2021-08-21 11:09:22</t>
  </si>
  <si>
    <t>2021-08-21 17:13:45</t>
  </si>
  <si>
    <t>8woh-k3u-23b</t>
  </si>
  <si>
    <t>xyu-123ab-45</t>
  </si>
  <si>
    <t>tkt-001-abc</t>
  </si>
  <si>
    <t>2021-08-22 09:30:00</t>
  </si>
  <si>
    <t>2021-08-22 12:30:00</t>
  </si>
  <si>
    <t>vew-iuvd-34</t>
  </si>
  <si>
    <t>tkt-002-def</t>
  </si>
  <si>
    <t>2021-08-23 10:15:00</t>
  </si>
  <si>
    <t>2021-08-23 15:45:00</t>
  </si>
  <si>
    <t>xyu-456cd-78</t>
  </si>
  <si>
    <t>tkt-003-ghi</t>
  </si>
  <si>
    <t>2021-08-24 08:50:00</t>
  </si>
  <si>
    <t>2021-08-24 18:10:00</t>
  </si>
  <si>
    <t>vew-iuvd-56</t>
  </si>
  <si>
    <t>tkt-004-jkl</t>
  </si>
  <si>
    <t>2021-08-25 14:20:00</t>
  </si>
  <si>
    <t>2021-08-25 16:00:00</t>
  </si>
  <si>
    <t>xyu-789ef-90</t>
  </si>
  <si>
    <t>tkt-005-mno</t>
  </si>
  <si>
    <t>2021-08-26 09:00:00</t>
  </si>
  <si>
    <t>2021-08-26 17:30:00</t>
  </si>
  <si>
    <t>vew-iuvd-78</t>
  </si>
  <si>
    <t>tkt-006-pqr</t>
  </si>
  <si>
    <t>2021-08-27 11:45:00</t>
  </si>
  <si>
    <t>2021-08-27 13:45:00</t>
  </si>
  <si>
    <t>xyu-101gh-12</t>
  </si>
  <si>
    <t>tkt-007-stu</t>
  </si>
  <si>
    <t>2021-08-28 07:50:00</t>
  </si>
  <si>
    <t>2021-08-28 10:10:00</t>
  </si>
  <si>
    <t>vew-iuvd-90</t>
  </si>
  <si>
    <t>tkt-008-vwx</t>
  </si>
  <si>
    <t>2021-08-29 15:30:00</t>
  </si>
  <si>
    <t>2021-08-29 19:45:00</t>
  </si>
  <si>
    <t>xyu-131ij-34</t>
  </si>
  <si>
    <t>feedback_at</t>
  </si>
  <si>
    <t>feedback_rating</t>
  </si>
  <si>
    <t>ticket_created_at</t>
  </si>
  <si>
    <t>2021-08-21 13:26:48</t>
  </si>
  <si>
    <t>2021-08-21 18:00:00</t>
  </si>
  <si>
    <t>2021-08-22 13:15:00</t>
  </si>
  <si>
    <t>2021-08-23 16:00:00</t>
  </si>
  <si>
    <t>2021-08-24 19:30:00</t>
  </si>
  <si>
    <t>2021-08-25 17:00:00</t>
  </si>
  <si>
    <t>2021-08-26 18:15:00</t>
  </si>
  <si>
    <t>2021-08-27 14:00:00</t>
  </si>
  <si>
    <t>2021-08-28 12:30:00</t>
  </si>
  <si>
    <t>2021-08-29 20:00:00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</si>
</sst>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topLeftCell="B1" workbookViewId="0">
      <selection activeCell="G11" sqref="G11"/>
    </sheetView>
  </sheetViews>
  <sheetFormatPr defaultColWidth="9" defaultRowHeight="14.4" outlineLevelCol="6"/>
  <cols>
    <col min="1" max="1" width="15.8888888888889" style="1" customWidth="1"/>
    <col min="2" max="2" width="23.1111111111111" style="1" customWidth="1"/>
    <col min="3" max="3" width="19.5555555555556" style="1" customWidth="1"/>
    <col min="4" max="4" width="18.6666666666667" style="1" customWidth="1"/>
    <col min="5" max="5" width="13.1111111111111" style="1" customWidth="1"/>
    <col min="6" max="6" width="10.1111111111111" style="1" customWidth="1"/>
    <col min="7" max="7" width="11.8888888888889" style="1" customWidth="1"/>
    <col min="8" max="16384" width="9" style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>
        <f t="shared" ref="F2:F11" si="0">IF(INT(B2)=INT(C2),1,0)</f>
        <v>0</v>
      </c>
      <c r="G2" s="3">
        <f>IF(OR(B2="",C2=""),0,IF(AND(INT(B2)=INT(C2),HOUR(B2)=HOUR(C2)),1,0))</f>
        <v>0</v>
      </c>
    </row>
    <row r="3" spans="1:7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>
        <f t="shared" si="0"/>
        <v>1</v>
      </c>
      <c r="G3" s="1">
        <f>IF(OR(B3="",C3=""),0,IF(AND(INT(B3)=INT(C3),HOUR(B3)=HOUR(C3)),1,0))</f>
        <v>0</v>
      </c>
    </row>
    <row r="4" spans="1:7">
      <c r="A4" s="1" t="s">
        <v>17</v>
      </c>
      <c r="B4" s="1" t="s">
        <v>18</v>
      </c>
      <c r="C4" s="1" t="s">
        <v>19</v>
      </c>
      <c r="D4" s="1" t="s">
        <v>10</v>
      </c>
      <c r="E4" s="1" t="s">
        <v>20</v>
      </c>
      <c r="F4" s="1">
        <f t="shared" si="0"/>
        <v>1</v>
      </c>
      <c r="G4" s="3">
        <f>IF(OR(B4="",C4=""),0,IF(AND(INT(B4)=INT(C4),HOUR(B4)=HOUR(C4)),1,0))</f>
        <v>0</v>
      </c>
    </row>
    <row r="5" spans="1:7">
      <c r="A5" s="1" t="s">
        <v>21</v>
      </c>
      <c r="B5" s="1" t="s">
        <v>22</v>
      </c>
      <c r="C5" s="1" t="s">
        <v>23</v>
      </c>
      <c r="D5" s="1" t="s">
        <v>15</v>
      </c>
      <c r="E5" s="1" t="s">
        <v>24</v>
      </c>
      <c r="F5" s="1">
        <f t="shared" si="0"/>
        <v>1</v>
      </c>
      <c r="G5" s="1">
        <f>IF(OR(B5="",C5=""),0,IF(AND(INT(B5)=INT(C5),HOUR(B5)=HOUR(C5)),1,0))</f>
        <v>0</v>
      </c>
    </row>
    <row r="6" spans="1:7">
      <c r="A6" s="1" t="s">
        <v>25</v>
      </c>
      <c r="B6" s="1" t="s">
        <v>26</v>
      </c>
      <c r="C6" s="1" t="s">
        <v>27</v>
      </c>
      <c r="D6" s="1" t="s">
        <v>10</v>
      </c>
      <c r="E6" s="1" t="s">
        <v>28</v>
      </c>
      <c r="F6" s="1">
        <f t="shared" si="0"/>
        <v>1</v>
      </c>
      <c r="G6" s="1">
        <f>IF(OR(B5="",C5=""),0,IF(AND(INT(B5)=INT(C5),HOUR(B5)=HOUR(C5)),1,0))</f>
        <v>0</v>
      </c>
    </row>
    <row r="7" spans="1:7">
      <c r="A7" s="1" t="s">
        <v>29</v>
      </c>
      <c r="B7" s="1" t="s">
        <v>30</v>
      </c>
      <c r="C7" s="1" t="s">
        <v>31</v>
      </c>
      <c r="D7" s="1" t="s">
        <v>15</v>
      </c>
      <c r="E7" s="1" t="s">
        <v>32</v>
      </c>
      <c r="F7" s="1">
        <f t="shared" si="0"/>
        <v>1</v>
      </c>
      <c r="G7" s="1">
        <f>IF(OR(B7="",C7=""),0,IF(AND(INT(B7)=INT(C7),HOUR(B7)=HOUR(C7)),1,0))</f>
        <v>0</v>
      </c>
    </row>
    <row r="8" spans="1:7">
      <c r="A8" s="1" t="s">
        <v>33</v>
      </c>
      <c r="B8" s="1" t="s">
        <v>34</v>
      </c>
      <c r="C8" s="1" t="s">
        <v>35</v>
      </c>
      <c r="D8" s="1" t="s">
        <v>10</v>
      </c>
      <c r="E8" s="1" t="s">
        <v>36</v>
      </c>
      <c r="F8" s="1">
        <f t="shared" si="0"/>
        <v>1</v>
      </c>
      <c r="G8" s="1">
        <f>IF(OR(B8="",C8=""),0,IF(AND(INT(B8)=INT(C8),HOUR(B8)=HOUR(C8)),1,0))</f>
        <v>0</v>
      </c>
    </row>
    <row r="9" spans="1:7">
      <c r="A9" s="1" t="s">
        <v>37</v>
      </c>
      <c r="B9" s="1" t="s">
        <v>38</v>
      </c>
      <c r="C9" s="1" t="s">
        <v>39</v>
      </c>
      <c r="D9" s="1" t="s">
        <v>15</v>
      </c>
      <c r="E9" s="1" t="s">
        <v>40</v>
      </c>
      <c r="F9" s="1">
        <f t="shared" si="0"/>
        <v>1</v>
      </c>
      <c r="G9" s="1">
        <f>IF(OR(B9="",C9=""),0,IF(AND(INT(B9)=INT(C9),HOUR(B9)=HOUR(C9)),1,0))</f>
        <v>0</v>
      </c>
    </row>
    <row r="10" spans="1:7">
      <c r="A10" s="1" t="s">
        <v>41</v>
      </c>
      <c r="B10" s="1" t="s">
        <v>42</v>
      </c>
      <c r="C10" s="1" t="s">
        <v>43</v>
      </c>
      <c r="D10" s="1" t="s">
        <v>10</v>
      </c>
      <c r="E10" s="1" t="s">
        <v>44</v>
      </c>
      <c r="F10" s="1">
        <f t="shared" si="0"/>
        <v>1</v>
      </c>
      <c r="G10" s="1">
        <f>IF(OR(B10="",C10=""),0,IF(AND(INT(B10)=INT(C10),HOUR(B10)=HOUR(C10)),1,0))</f>
        <v>0</v>
      </c>
    </row>
    <row r="11" spans="1:7">
      <c r="A11" s="1" t="s">
        <v>45</v>
      </c>
      <c r="B11" s="1" t="s">
        <v>46</v>
      </c>
      <c r="C11" s="1" t="s">
        <v>47</v>
      </c>
      <c r="D11" s="1" t="s">
        <v>15</v>
      </c>
      <c r="E11" s="1" t="s">
        <v>48</v>
      </c>
      <c r="F11" s="1">
        <f t="shared" si="0"/>
        <v>1</v>
      </c>
      <c r="G11" s="1">
        <f>IF(OR(B11="",C11=""),0,IF(AND(INT(B11)=INT(C11),HOUR(B11)=HOUR(C11)),1,0))</f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D17" sqref="D17"/>
    </sheetView>
  </sheetViews>
  <sheetFormatPr defaultColWidth="9" defaultRowHeight="14.4" outlineLevelCol="3"/>
  <cols>
    <col min="1" max="1" width="21.5555555555556" style="1" customWidth="1"/>
    <col min="2" max="2" width="20.6666666666667" style="1" customWidth="1"/>
    <col min="3" max="3" width="15.1111111111111" style="1" customWidth="1"/>
    <col min="4" max="4" width="25.1111111111111" style="1" customWidth="1"/>
    <col min="5" max="16384" width="9" style="1"/>
  </cols>
  <sheetData>
    <row r="1" spans="1:4">
      <c r="A1" s="2" t="s">
        <v>4</v>
      </c>
      <c r="B1" s="2" t="s">
        <v>49</v>
      </c>
      <c r="C1" s="2" t="s">
        <v>50</v>
      </c>
      <c r="D1" s="2" t="s">
        <v>51</v>
      </c>
    </row>
    <row r="2" spans="1:4">
      <c r="A2" s="1" t="s">
        <v>11</v>
      </c>
      <c r="B2" s="1" t="s">
        <v>52</v>
      </c>
      <c r="C2" s="1">
        <v>3</v>
      </c>
      <c r="D2" s="3" t="str">
        <f>VLOOKUP(A2,CHOOSE({1,2},ticket!E:E,ticket!B:B),2,FALSE)</f>
        <v>2021-08-19 16:45:43</v>
      </c>
    </row>
    <row r="3" spans="1:4">
      <c r="A3" s="1" t="s">
        <v>16</v>
      </c>
      <c r="B3" s="1" t="s">
        <v>53</v>
      </c>
      <c r="C3" s="1">
        <v>4</v>
      </c>
      <c r="D3" s="3" t="str">
        <f>VLOOKUP(A3,CHOOSE({1,2},ticket!E:E,ticket!B:B),2,FALSE)</f>
        <v>2021-08-21 11:09:22</v>
      </c>
    </row>
    <row r="4" spans="1:4">
      <c r="A4" s="1" t="s">
        <v>20</v>
      </c>
      <c r="B4" s="1" t="s">
        <v>54</v>
      </c>
      <c r="C4" s="1">
        <v>5</v>
      </c>
      <c r="D4" s="3" t="str">
        <f>VLOOKUP(A4,CHOOSE({1,2},ticket!E:E,ticket!B:B),2,FALSE)</f>
        <v>2021-08-22 09:30:00</v>
      </c>
    </row>
    <row r="5" spans="1:4">
      <c r="A5" s="1" t="s">
        <v>24</v>
      </c>
      <c r="B5" s="1" t="s">
        <v>55</v>
      </c>
      <c r="C5" s="1">
        <v>2</v>
      </c>
      <c r="D5" s="3" t="str">
        <f>VLOOKUP(A4,CHOOSE({1,2},ticket!E:E,ticket!B:B),2,FALSE)</f>
        <v>2021-08-22 09:30:00</v>
      </c>
    </row>
    <row r="6" spans="1:4">
      <c r="A6" s="1" t="s">
        <v>28</v>
      </c>
      <c r="B6" s="1" t="s">
        <v>56</v>
      </c>
      <c r="C6" s="1">
        <v>4</v>
      </c>
      <c r="D6" s="3" t="str">
        <f>VLOOKUP(A5,CHOOSE({1,2},ticket!E:E,ticket!B:B),2,FALSE)</f>
        <v>2021-08-23 10:15:00</v>
      </c>
    </row>
    <row r="7" spans="1:4">
      <c r="A7" s="1" t="s">
        <v>32</v>
      </c>
      <c r="B7" s="1" t="s">
        <v>57</v>
      </c>
      <c r="C7" s="1">
        <v>3</v>
      </c>
      <c r="D7" s="1" t="str">
        <f>VLOOKUP(A6,CHOOSE({1,2},ticket!E:E,ticket!B:B),2,FALSE)</f>
        <v>2021-08-24 08:50:00</v>
      </c>
    </row>
    <row r="8" spans="1:4">
      <c r="A8" s="1" t="s">
        <v>36</v>
      </c>
      <c r="B8" s="1" t="s">
        <v>58</v>
      </c>
      <c r="C8" s="1">
        <v>5</v>
      </c>
      <c r="D8" s="3" t="str">
        <f>VLOOKUP(A7,CHOOSE({1,2},ticket!E:E,ticket!B:B),2,FALSE)</f>
        <v>2021-08-25 14:20:00</v>
      </c>
    </row>
    <row r="9" spans="1:4">
      <c r="A9" s="1" t="s">
        <v>40</v>
      </c>
      <c r="B9" s="1" t="s">
        <v>59</v>
      </c>
      <c r="C9" s="1">
        <v>4</v>
      </c>
      <c r="D9" s="3" t="str">
        <f>VLOOKUP(A8,CHOOSE({1,2},ticket!E:E,ticket!B:B),2,FALSE)</f>
        <v>2021-08-26 09:00:00</v>
      </c>
    </row>
    <row r="10" spans="1:4">
      <c r="A10" s="1" t="s">
        <v>44</v>
      </c>
      <c r="B10" s="1" t="s">
        <v>60</v>
      </c>
      <c r="C10" s="1">
        <v>2</v>
      </c>
      <c r="D10" s="3" t="str">
        <f>VLOOKUP(A9,CHOOSE({1,2},ticket!E:E,ticket!B:B),2,FALSE)</f>
        <v>2021-08-27 11:45:00</v>
      </c>
    </row>
    <row r="11" spans="1:4">
      <c r="A11" s="1" t="s">
        <v>48</v>
      </c>
      <c r="B11" s="1" t="s">
        <v>61</v>
      </c>
      <c r="C11" s="1">
        <v>5</v>
      </c>
      <c r="D11" s="3" t="str">
        <f>VLOOKUP(A10,CHOOSE({1,2},ticket!E:E,ticket!B:B),2,FALSE)</f>
        <v>2021-08-28 07:50:00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ticket</vt:lpstr>
      <vt:lpstr>feedbacks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0431 Nishitha</cp:lastModifiedBy>
  <dcterms:created xsi:type="dcterms:W3CDTF">2025-12-03T04:20:00Z</dcterms:created>
  <dcterms:modified xsi:type="dcterms:W3CDTF">2025-12-03T05:10:40Z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2F73255206DE499A8B0A332E921F182F_13</vt:lpwstr>
  </property>
  <property fmtid="{D5CDD505-2E9C-101B-9397-08002B2CF9AE}" pid="3" name="KSOProductBuildVer">
    <vt:lpwstr>1033-12.2.0.23155</vt:lpwstr>
  </property>
</Properties>
</file>